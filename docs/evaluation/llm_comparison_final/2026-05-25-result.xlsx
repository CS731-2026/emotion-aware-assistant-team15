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aster\731-human interaction\final project\test\test-result-final-02\"/>
    </mc:Choice>
  </mc:AlternateContent>
  <xr:revisionPtr revIDLastSave="0" documentId="13_ncr:1_{1966B245-AEE3-456D-B9A7-1879CA7EA1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J42" i="1" s="1"/>
  <c r="H41" i="1"/>
  <c r="J41" i="1" s="1"/>
  <c r="D46" i="1"/>
  <c r="D43" i="1"/>
  <c r="D41" i="1"/>
  <c r="J43" i="1"/>
  <c r="J44" i="1"/>
  <c r="J45" i="1"/>
  <c r="J46" i="1"/>
  <c r="J48" i="1"/>
  <c r="J49" i="1"/>
  <c r="J50" i="1"/>
  <c r="G49" i="1"/>
  <c r="F48" i="1"/>
  <c r="G48" i="1"/>
  <c r="H48" i="1"/>
  <c r="I48" i="1"/>
  <c r="F49" i="1"/>
  <c r="H49" i="1"/>
  <c r="I49" i="1"/>
  <c r="F50" i="1"/>
  <c r="G50" i="1"/>
  <c r="H50" i="1"/>
  <c r="I50" i="1"/>
  <c r="E48" i="1"/>
  <c r="E49" i="1"/>
  <c r="E50" i="1"/>
  <c r="I43" i="1"/>
  <c r="I44" i="1"/>
  <c r="I45" i="1"/>
  <c r="I46" i="1"/>
  <c r="H43" i="1"/>
  <c r="H44" i="1"/>
  <c r="H45" i="1"/>
  <c r="H46" i="1"/>
  <c r="G43" i="1"/>
  <c r="G44" i="1"/>
  <c r="G45" i="1"/>
  <c r="G46" i="1"/>
  <c r="F43" i="1"/>
  <c r="F44" i="1"/>
  <c r="F45" i="1"/>
  <c r="F46" i="1"/>
  <c r="E43" i="1"/>
  <c r="E44" i="1"/>
  <c r="E45" i="1"/>
  <c r="E46" i="1"/>
  <c r="E41" i="1"/>
  <c r="E42" i="1"/>
  <c r="G42" i="1"/>
  <c r="H42" i="1"/>
  <c r="I42" i="1"/>
  <c r="F41" i="1"/>
  <c r="G41" i="1"/>
  <c r="I41" i="1"/>
  <c r="D42" i="1"/>
  <c r="D44" i="1"/>
  <c r="D45" i="1"/>
  <c r="D48" i="1"/>
  <c r="D49" i="1"/>
  <c r="D50" i="1"/>
  <c r="J38" i="1"/>
  <c r="J37" i="1"/>
  <c r="J36" i="1"/>
  <c r="J34" i="1"/>
  <c r="J33" i="1"/>
  <c r="J32" i="1"/>
  <c r="J31" i="1"/>
  <c r="J30" i="1"/>
  <c r="J29" i="1"/>
  <c r="J25" i="1"/>
  <c r="J24" i="1"/>
  <c r="J23" i="1"/>
  <c r="J21" i="1"/>
  <c r="J20" i="1"/>
  <c r="J19" i="1"/>
  <c r="J18" i="1"/>
  <c r="J17" i="1"/>
  <c r="J16" i="1"/>
  <c r="J12" i="1"/>
  <c r="J11" i="1"/>
  <c r="J10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<sst xmlns="http://schemas.openxmlformats.org/spreadsheetml/2006/main" count="188" uniqueCount="71">
  <si>
    <t>demo-test05</t>
    <phoneticPr fontId="1" type="noConversion"/>
  </si>
  <si>
    <t>prompt_type</t>
  </si>
  <si>
    <t>ms</t>
    <phoneticPr fontId="1" type="noConversion"/>
  </si>
  <si>
    <t>clarity</t>
  </si>
  <si>
    <t>pedagogical_quality</t>
  </si>
  <si>
    <t>emotional_alignment</t>
  </si>
  <si>
    <t>structure</t>
  </si>
  <si>
    <t>cognitive_load</t>
  </si>
  <si>
    <t>total_score</t>
  </si>
  <si>
    <t>rank</t>
  </si>
  <si>
    <t>deepseek V4 Pro</t>
    <phoneticPr fontId="1" type="noConversion"/>
  </si>
  <si>
    <t>base_prompt</t>
    <phoneticPr fontId="1" type="noConversion"/>
  </si>
  <si>
    <t>Gemini 3.1 Pro Preview</t>
    <phoneticPr fontId="1" type="noConversion"/>
  </si>
  <si>
    <t>Cluade Opus 4.7 Fast</t>
    <phoneticPr fontId="1" type="noConversion"/>
  </si>
  <si>
    <t>strategy prompt</t>
    <phoneticPr fontId="1" type="noConversion"/>
  </si>
  <si>
    <t>planner prompt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</si>
  <si>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</si>
  <si>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</si>
  <si>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</si>
  <si>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 xml:space="preserve">Learning-state use  </t>
  </si>
  <si>
    <t xml:space="preserve">output format correctness </t>
    <phoneticPr fontId="1" type="noConversion"/>
  </si>
  <si>
    <t>Rationale quality</t>
  </si>
  <si>
    <t>Safety / non-overreaction</t>
  </si>
  <si>
    <t>Strategy appropriateness</t>
    <phoneticPr fontId="1" type="noConversion"/>
  </si>
  <si>
    <t>average</t>
    <phoneticPr fontId="1" type="noConversion"/>
  </si>
  <si>
    <t>Model</t>
  </si>
  <si>
    <t>Base Score</t>
  </si>
  <si>
    <t>Base Latency</t>
  </si>
  <si>
    <t>Strategy Score</t>
  </si>
  <si>
    <t>Strategy Latency</t>
  </si>
  <si>
    <t>Planner Score</t>
  </si>
  <si>
    <t>Planner Latency</t>
  </si>
  <si>
    <t>DeepSeek V4 Pro</t>
  </si>
  <si>
    <t>35.5s</t>
  </si>
  <si>
    <t>19.4s</t>
  </si>
  <si>
    <t>59.5s</t>
  </si>
  <si>
    <t>Gemini 3.1 Pro Preview</t>
  </si>
  <si>
    <t>18.7s</t>
  </si>
  <si>
    <t>14.6s</t>
  </si>
  <si>
    <t>25.5s</t>
  </si>
  <si>
    <t>Claude Opus 4.7 Fast</t>
  </si>
  <si>
    <t>7.2s</t>
  </si>
  <si>
    <t>10.6s</t>
  </si>
  <si>
    <t>Avg Score</t>
  </si>
  <si>
    <t>Avg Latency</t>
  </si>
  <si>
    <t>Overall Rank</t>
  </si>
  <si>
    <t>Claude</t>
  </si>
  <si>
    <t>7.4s</t>
  </si>
  <si>
    <t>Gemini</t>
  </si>
  <si>
    <t>19.6s</t>
  </si>
  <si>
    <t>DeepSeek</t>
  </si>
  <si>
    <t>38.1s</t>
  </si>
  <si>
    <t>Prompt Type</t>
  </si>
  <si>
    <t>Interpretation</t>
  </si>
  <si>
    <t>Base</t>
  </si>
  <si>
    <t>20.5s</t>
  </si>
  <si>
    <t>Highest average quality</t>
  </si>
  <si>
    <t>Strategy</t>
  </si>
  <si>
    <t>Planner</t>
  </si>
  <si>
    <t>31.9s</t>
  </si>
  <si>
    <t>Slowest and less stable</t>
  </si>
  <si>
    <t>Best quality-speed balance</t>
    <phoneticPr fontId="1" type="noConversion"/>
  </si>
  <si>
    <t>4.5s</t>
    <phoneticPr fontId="1" type="noConversion"/>
  </si>
  <si>
    <t>12.8s</t>
    <phoneticPr fontId="1" type="noConversion"/>
  </si>
  <si>
    <t>pedagogical_quality</t>
    <phoneticPr fontId="1" type="noConversion"/>
  </si>
  <si>
    <t>emotional_alignment</t>
    <phoneticPr fontId="1" type="noConversion"/>
  </si>
  <si>
    <t>structure</t>
    <phoneticPr fontId="1" type="noConversion"/>
  </si>
  <si>
    <t>cognitive_load</t>
    <phoneticPr fontId="1" type="noConversion"/>
  </si>
  <si>
    <t xml:space="preserve">Learning-state use  </t>
    <phoneticPr fontId="1" type="noConversion"/>
  </si>
  <si>
    <t>Rationale quality</t>
    <phoneticPr fontId="1" type="noConversion"/>
  </si>
  <si>
    <t>Safety / non-overreaction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</si>
</sst>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76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C1" zoomScale="115" zoomScaleNormal="115" workbookViewId="0">
      <selection activeCell="I9" sqref="I9"/>
    </sheetView>
  </sheetViews>
  <sheetFormatPr defaultRowHeight="14" x14ac:dyDescent="0.3"/>
  <cols>
    <col min="2" max="2" width="19.9140625" bestFit="1" customWidth="1"/>
    <col min="3" max="3" width="14.25" bestFit="1" customWidth="1"/>
    <col min="4" max="4" width="10.4140625" customWidth="1"/>
    <col min="5" max="5" width="21.58203125" bestFit="1" customWidth="1"/>
    <col min="6" max="6" width="17.5" bestFit="1" customWidth="1"/>
    <col min="7" max="7" width="21.83203125" bestFit="1" customWidth="1"/>
    <col min="8" max="8" width="14.58203125" bestFit="1" customWidth="1"/>
    <col min="9" max="9" width="22.08203125" bestFit="1" customWidth="1"/>
    <col min="10" max="10" width="9.6640625" bestFit="1" customWidth="1"/>
  </cols>
  <sheetData>
    <row r="1" spans="1:14" x14ac:dyDescent="0.3">
      <c r="A1" t="s">
        <v>16</v>
      </c>
      <c r="B1" s="2">
        <v>46166.864583333336</v>
      </c>
    </row>
    <row r="2" spans="1:14" x14ac:dyDescent="0.3">
      <c r="B2" t="s">
        <v>0</v>
      </c>
      <c r="C2" s="1" t="s">
        <v>1</v>
      </c>
      <c r="D2" s="1" t="s">
        <v>2</v>
      </c>
      <c r="E2" s="1" t="s">
        <v>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8</v>
      </c>
      <c r="K2" s="1" t="s">
        <v>9</v>
      </c>
    </row>
    <row r="3" spans="1:14" x14ac:dyDescent="0.3">
      <c r="B3" t="s">
        <v>10</v>
      </c>
      <c r="C3" t="s">
        <v>11</v>
      </c>
      <c r="D3">
        <v>22742</v>
      </c>
      <c r="E3">
        <v>4</v>
      </c>
      <c r="F3">
        <v>4</v>
      </c>
      <c r="G3">
        <v>4</v>
      </c>
      <c r="H3">
        <v>4</v>
      </c>
      <c r="I3">
        <v>4</v>
      </c>
      <c r="J3">
        <f t="shared" ref="J3:J8" si="0">SUM(E3:I3)</f>
        <v>20</v>
      </c>
      <c r="K3">
        <v>3</v>
      </c>
    </row>
    <row r="4" spans="1:14" x14ac:dyDescent="0.3">
      <c r="B4" t="s">
        <v>12</v>
      </c>
      <c r="C4" t="s">
        <v>11</v>
      </c>
      <c r="D4">
        <v>14684</v>
      </c>
      <c r="E4" s="4">
        <v>5</v>
      </c>
      <c r="F4" s="4">
        <v>5</v>
      </c>
      <c r="G4" s="4">
        <v>5</v>
      </c>
      <c r="H4" s="4">
        <v>5</v>
      </c>
      <c r="I4" s="4">
        <v>4</v>
      </c>
      <c r="J4">
        <f t="shared" si="0"/>
        <v>24</v>
      </c>
      <c r="K4" s="4">
        <v>2</v>
      </c>
      <c r="L4" s="4"/>
      <c r="N4" s="4"/>
    </row>
    <row r="5" spans="1:14" x14ac:dyDescent="0.3">
      <c r="B5" t="s">
        <v>13</v>
      </c>
      <c r="C5" t="s">
        <v>11</v>
      </c>
      <c r="D5">
        <v>5430</v>
      </c>
      <c r="E5">
        <v>5</v>
      </c>
      <c r="F5">
        <v>5</v>
      </c>
      <c r="G5">
        <v>5</v>
      </c>
      <c r="H5">
        <v>5</v>
      </c>
      <c r="I5">
        <v>4</v>
      </c>
      <c r="J5">
        <f t="shared" si="0"/>
        <v>24</v>
      </c>
      <c r="K5">
        <v>1</v>
      </c>
      <c r="N5" s="6"/>
    </row>
    <row r="6" spans="1:14" x14ac:dyDescent="0.3">
      <c r="B6" t="s">
        <v>10</v>
      </c>
      <c r="C6" t="s">
        <v>14</v>
      </c>
      <c r="D6">
        <v>15776</v>
      </c>
      <c r="E6">
        <v>4</v>
      </c>
      <c r="F6">
        <v>4</v>
      </c>
      <c r="G6">
        <v>4</v>
      </c>
      <c r="H6">
        <v>5</v>
      </c>
      <c r="I6">
        <v>3</v>
      </c>
      <c r="J6">
        <f t="shared" si="0"/>
        <v>20</v>
      </c>
    </row>
    <row r="7" spans="1:14" x14ac:dyDescent="0.3">
      <c r="B7" t="s">
        <v>12</v>
      </c>
      <c r="C7" t="s">
        <v>14</v>
      </c>
      <c r="D7">
        <v>15939</v>
      </c>
      <c r="E7">
        <v>5</v>
      </c>
      <c r="F7">
        <v>4</v>
      </c>
      <c r="G7">
        <v>5</v>
      </c>
      <c r="H7">
        <v>5</v>
      </c>
      <c r="I7">
        <v>5</v>
      </c>
      <c r="J7">
        <f t="shared" si="0"/>
        <v>24</v>
      </c>
      <c r="L7" s="4"/>
    </row>
    <row r="8" spans="1:14" x14ac:dyDescent="0.3">
      <c r="B8" t="s">
        <v>13</v>
      </c>
      <c r="C8" t="s">
        <v>14</v>
      </c>
      <c r="D8">
        <v>4543</v>
      </c>
      <c r="E8">
        <v>5</v>
      </c>
      <c r="F8">
        <v>5</v>
      </c>
      <c r="G8">
        <v>5</v>
      </c>
      <c r="H8">
        <v>5</v>
      </c>
      <c r="I8">
        <v>4</v>
      </c>
      <c r="J8">
        <f t="shared" si="0"/>
        <v>24</v>
      </c>
    </row>
    <row r="9" spans="1:14" x14ac:dyDescent="0.3">
      <c r="D9" s="1" t="s">
        <v>2</v>
      </c>
      <c r="E9" t="s">
        <v>23</v>
      </c>
      <c r="F9" t="s">
        <v>68</v>
      </c>
      <c r="G9" t="s">
        <v>20</v>
      </c>
      <c r="H9" t="s">
        <v>69</v>
      </c>
      <c r="I9" t="s">
        <v>70</v>
      </c>
      <c r="J9" s="1" t="s">
        <v>8</v>
      </c>
      <c r="K9" s="1" t="s">
        <v>9</v>
      </c>
    </row>
    <row r="10" spans="1:14" x14ac:dyDescent="0.3">
      <c r="B10" t="s">
        <v>10</v>
      </c>
      <c r="C10" t="s">
        <v>15</v>
      </c>
      <c r="D10">
        <v>61996</v>
      </c>
      <c r="E10">
        <v>5</v>
      </c>
      <c r="F10">
        <v>4</v>
      </c>
      <c r="G10">
        <v>5</v>
      </c>
      <c r="H10">
        <v>4</v>
      </c>
      <c r="I10">
        <v>3</v>
      </c>
      <c r="J10">
        <f>SUM(E10:I10)</f>
        <v>21</v>
      </c>
      <c r="K10">
        <v>2</v>
      </c>
      <c r="L10" s="4"/>
    </row>
    <row r="11" spans="1:14" x14ac:dyDescent="0.3">
      <c r="B11" t="s">
        <v>12</v>
      </c>
      <c r="C11" t="s">
        <v>15</v>
      </c>
      <c r="D11">
        <v>23912</v>
      </c>
      <c r="E11">
        <v>4</v>
      </c>
      <c r="F11">
        <v>4</v>
      </c>
      <c r="G11">
        <v>3</v>
      </c>
      <c r="H11">
        <v>4</v>
      </c>
      <c r="I11">
        <v>5</v>
      </c>
      <c r="J11">
        <f>SUM(E11:I11)</f>
        <v>20</v>
      </c>
      <c r="K11">
        <v>3</v>
      </c>
      <c r="L11" s="4"/>
    </row>
    <row r="12" spans="1:14" x14ac:dyDescent="0.3">
      <c r="B12" t="s">
        <v>13</v>
      </c>
      <c r="C12" t="s">
        <v>15</v>
      </c>
      <c r="D12">
        <v>12378</v>
      </c>
      <c r="E12">
        <v>5</v>
      </c>
      <c r="F12">
        <v>5</v>
      </c>
      <c r="G12">
        <v>3</v>
      </c>
      <c r="H12">
        <v>5</v>
      </c>
      <c r="I12">
        <v>5</v>
      </c>
      <c r="J12">
        <f>SUM(E12:I12)</f>
        <v>23</v>
      </c>
      <c r="K12">
        <v>1</v>
      </c>
    </row>
    <row r="14" spans="1:14" x14ac:dyDescent="0.3">
      <c r="A14" t="s">
        <v>17</v>
      </c>
      <c r="B14" s="2">
        <v>46166.885416666664</v>
      </c>
    </row>
    <row r="15" spans="1:14" x14ac:dyDescent="0.3">
      <c r="B15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5"/>
      <c r="N15" s="1"/>
    </row>
    <row r="16" spans="1:14" x14ac:dyDescent="0.3">
      <c r="B16" t="s">
        <v>10</v>
      </c>
      <c r="C16" t="s">
        <v>11</v>
      </c>
      <c r="D16">
        <v>76812</v>
      </c>
      <c r="E16">
        <v>4</v>
      </c>
      <c r="F16">
        <v>4</v>
      </c>
      <c r="G16">
        <v>4</v>
      </c>
      <c r="H16">
        <v>5</v>
      </c>
      <c r="I16">
        <v>3</v>
      </c>
      <c r="J16">
        <f t="shared" ref="J16:J21" si="1">SUM(E16:I16)</f>
        <v>20</v>
      </c>
      <c r="K16">
        <v>3</v>
      </c>
    </row>
    <row r="17" spans="1:12" x14ac:dyDescent="0.3">
      <c r="B17" t="s">
        <v>12</v>
      </c>
      <c r="C17" t="s">
        <v>11</v>
      </c>
      <c r="D17">
        <v>28922</v>
      </c>
      <c r="E17">
        <v>4</v>
      </c>
      <c r="F17">
        <v>4</v>
      </c>
      <c r="G17">
        <v>4</v>
      </c>
      <c r="H17">
        <v>4</v>
      </c>
      <c r="I17">
        <v>4</v>
      </c>
      <c r="J17">
        <f>SUM(E17:I17)</f>
        <v>20</v>
      </c>
      <c r="K17">
        <v>2</v>
      </c>
    </row>
    <row r="18" spans="1:12" x14ac:dyDescent="0.3">
      <c r="B18" t="s">
        <v>13</v>
      </c>
      <c r="C18" t="s">
        <v>11</v>
      </c>
      <c r="D18">
        <v>10925</v>
      </c>
      <c r="E18">
        <v>5</v>
      </c>
      <c r="F18">
        <v>5</v>
      </c>
      <c r="G18">
        <v>5</v>
      </c>
      <c r="H18">
        <v>5</v>
      </c>
      <c r="I18">
        <v>5</v>
      </c>
      <c r="J18">
        <f t="shared" si="1"/>
        <v>25</v>
      </c>
      <c r="K18">
        <v>1</v>
      </c>
    </row>
    <row r="19" spans="1:12" x14ac:dyDescent="0.3">
      <c r="B19" t="s">
        <v>10</v>
      </c>
      <c r="C19" t="s">
        <v>14</v>
      </c>
      <c r="D19">
        <v>28831</v>
      </c>
      <c r="E19">
        <v>3</v>
      </c>
      <c r="F19">
        <v>3</v>
      </c>
      <c r="G19">
        <v>3</v>
      </c>
      <c r="H19">
        <v>4</v>
      </c>
      <c r="I19">
        <v>2</v>
      </c>
      <c r="J19">
        <f t="shared" si="1"/>
        <v>15</v>
      </c>
      <c r="K19">
        <v>3</v>
      </c>
    </row>
    <row r="20" spans="1:12" x14ac:dyDescent="0.3">
      <c r="B20" t="s">
        <v>12</v>
      </c>
      <c r="C20" t="s">
        <v>14</v>
      </c>
      <c r="D20">
        <v>18609</v>
      </c>
      <c r="E20">
        <v>4</v>
      </c>
      <c r="F20">
        <v>4</v>
      </c>
      <c r="G20">
        <v>4</v>
      </c>
      <c r="H20">
        <v>4</v>
      </c>
      <c r="I20">
        <v>4</v>
      </c>
      <c r="J20">
        <f t="shared" si="1"/>
        <v>20</v>
      </c>
      <c r="K20">
        <v>2</v>
      </c>
    </row>
    <row r="21" spans="1:12" x14ac:dyDescent="0.3">
      <c r="B21" t="s">
        <v>13</v>
      </c>
      <c r="C21" t="s">
        <v>14</v>
      </c>
      <c r="D21">
        <v>5207</v>
      </c>
      <c r="E21">
        <v>5</v>
      </c>
      <c r="F21">
        <v>5</v>
      </c>
      <c r="G21">
        <v>5</v>
      </c>
      <c r="H21">
        <v>5</v>
      </c>
      <c r="I21">
        <v>5</v>
      </c>
      <c r="J21">
        <f t="shared" si="1"/>
        <v>25</v>
      </c>
      <c r="K21">
        <v>1</v>
      </c>
    </row>
    <row r="22" spans="1:12" x14ac:dyDescent="0.3">
      <c r="D22" s="1" t="s">
        <v>2</v>
      </c>
      <c r="E22" t="s">
        <v>23</v>
      </c>
      <c r="F22" t="s">
        <v>19</v>
      </c>
      <c r="G22" t="s">
        <v>20</v>
      </c>
      <c r="H22" t="s">
        <v>21</v>
      </c>
      <c r="I22" t="s">
        <v>22</v>
      </c>
      <c r="J22" s="1" t="s">
        <v>8</v>
      </c>
      <c r="K22" s="1" t="s">
        <v>9</v>
      </c>
    </row>
    <row r="23" spans="1:12" x14ac:dyDescent="0.3">
      <c r="B23" t="s">
        <v>10</v>
      </c>
      <c r="C23" t="s">
        <v>15</v>
      </c>
      <c r="D23">
        <v>29682</v>
      </c>
      <c r="E23">
        <v>4</v>
      </c>
      <c r="F23">
        <v>4</v>
      </c>
      <c r="G23">
        <v>5</v>
      </c>
      <c r="H23">
        <v>4</v>
      </c>
      <c r="I23">
        <v>3</v>
      </c>
      <c r="J23">
        <f>SUM(E23:I23)</f>
        <v>20</v>
      </c>
      <c r="K23">
        <v>2</v>
      </c>
    </row>
    <row r="24" spans="1:12" x14ac:dyDescent="0.3">
      <c r="B24" t="s">
        <v>12</v>
      </c>
      <c r="C24" t="s">
        <v>15</v>
      </c>
      <c r="D24">
        <v>21271</v>
      </c>
      <c r="E24">
        <v>3</v>
      </c>
      <c r="F24">
        <v>3</v>
      </c>
      <c r="G24">
        <v>2</v>
      </c>
      <c r="H24">
        <v>3</v>
      </c>
      <c r="I24">
        <v>3</v>
      </c>
      <c r="J24">
        <f>SUM(E24:I24)</f>
        <v>14</v>
      </c>
      <c r="K24">
        <v>3</v>
      </c>
    </row>
    <row r="25" spans="1:12" x14ac:dyDescent="0.3">
      <c r="B25" t="s">
        <v>13</v>
      </c>
      <c r="C25" t="s">
        <v>15</v>
      </c>
      <c r="D25">
        <v>10221</v>
      </c>
      <c r="E25">
        <v>5</v>
      </c>
      <c r="F25">
        <v>4</v>
      </c>
      <c r="G25">
        <v>5</v>
      </c>
      <c r="H25">
        <v>5</v>
      </c>
      <c r="I25">
        <v>4</v>
      </c>
      <c r="J25">
        <f>SUM(E25:I25)</f>
        <v>23</v>
      </c>
      <c r="K25">
        <v>1</v>
      </c>
    </row>
    <row r="27" spans="1:12" x14ac:dyDescent="0.3">
      <c r="A27" t="s">
        <v>18</v>
      </c>
      <c r="B27" s="2">
        <v>46166.896527777775</v>
      </c>
    </row>
    <row r="28" spans="1:12" x14ac:dyDescent="0.3">
      <c r="B28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  <c r="J28" s="1" t="s">
        <v>8</v>
      </c>
      <c r="K28" s="1" t="s">
        <v>9</v>
      </c>
    </row>
    <row r="29" spans="1:12" x14ac:dyDescent="0.3">
      <c r="B29" t="s">
        <v>10</v>
      </c>
      <c r="C29" t="s">
        <v>11</v>
      </c>
      <c r="D29">
        <v>7014</v>
      </c>
      <c r="E29">
        <v>4</v>
      </c>
      <c r="F29">
        <v>4</v>
      </c>
      <c r="G29">
        <v>4</v>
      </c>
      <c r="H29">
        <v>5</v>
      </c>
      <c r="I29">
        <v>4</v>
      </c>
      <c r="J29">
        <f t="shared" ref="J29:J34" si="2">SUM(E29:I29)</f>
        <v>21</v>
      </c>
      <c r="K29">
        <v>3</v>
      </c>
    </row>
    <row r="30" spans="1:12" x14ac:dyDescent="0.3">
      <c r="B30" t="s">
        <v>12</v>
      </c>
      <c r="C30" t="s">
        <v>11</v>
      </c>
      <c r="D30">
        <v>12462</v>
      </c>
      <c r="E30">
        <v>5</v>
      </c>
      <c r="F30">
        <v>4</v>
      </c>
      <c r="G30">
        <v>5</v>
      </c>
      <c r="H30">
        <v>5</v>
      </c>
      <c r="I30">
        <v>5</v>
      </c>
      <c r="J30">
        <f t="shared" si="2"/>
        <v>24</v>
      </c>
      <c r="K30">
        <v>1</v>
      </c>
      <c r="L30" s="5"/>
    </row>
    <row r="31" spans="1:12" x14ac:dyDescent="0.3">
      <c r="B31" t="s">
        <v>13</v>
      </c>
      <c r="C31" t="s">
        <v>11</v>
      </c>
      <c r="D31">
        <v>5232</v>
      </c>
      <c r="E31">
        <v>5</v>
      </c>
      <c r="F31">
        <v>5</v>
      </c>
      <c r="G31">
        <v>4</v>
      </c>
      <c r="H31">
        <v>5</v>
      </c>
      <c r="I31">
        <v>4</v>
      </c>
      <c r="J31">
        <f t="shared" si="2"/>
        <v>23</v>
      </c>
      <c r="K31">
        <v>2</v>
      </c>
    </row>
    <row r="32" spans="1:12" x14ac:dyDescent="0.3">
      <c r="B32" t="s">
        <v>10</v>
      </c>
      <c r="C32" t="s">
        <v>14</v>
      </c>
      <c r="D32">
        <v>13558</v>
      </c>
      <c r="E32">
        <v>4</v>
      </c>
      <c r="F32">
        <v>4</v>
      </c>
      <c r="G32">
        <v>4</v>
      </c>
      <c r="H32">
        <v>4</v>
      </c>
      <c r="I32">
        <v>4</v>
      </c>
      <c r="J32">
        <f t="shared" si="2"/>
        <v>20</v>
      </c>
      <c r="K32">
        <v>3</v>
      </c>
    </row>
    <row r="33" spans="2:11" x14ac:dyDescent="0.3">
      <c r="B33" t="s">
        <v>12</v>
      </c>
      <c r="C33" t="s">
        <v>14</v>
      </c>
      <c r="D33">
        <v>9254</v>
      </c>
      <c r="E33">
        <v>5</v>
      </c>
      <c r="F33">
        <v>4</v>
      </c>
      <c r="G33">
        <v>5</v>
      </c>
      <c r="H33">
        <v>5</v>
      </c>
      <c r="I33">
        <v>5</v>
      </c>
      <c r="J33">
        <f t="shared" si="2"/>
        <v>24</v>
      </c>
      <c r="K33">
        <v>2</v>
      </c>
    </row>
    <row r="34" spans="2:11" x14ac:dyDescent="0.3">
      <c r="B34" t="s">
        <v>13</v>
      </c>
      <c r="C34" t="s">
        <v>14</v>
      </c>
      <c r="D34">
        <v>3647</v>
      </c>
      <c r="E34">
        <v>5</v>
      </c>
      <c r="F34">
        <v>5</v>
      </c>
      <c r="G34">
        <v>5</v>
      </c>
      <c r="H34">
        <v>5</v>
      </c>
      <c r="I34">
        <v>4</v>
      </c>
      <c r="J34">
        <f t="shared" si="2"/>
        <v>24</v>
      </c>
      <c r="K34">
        <v>1</v>
      </c>
    </row>
    <row r="35" spans="2:11" x14ac:dyDescent="0.3">
      <c r="D35" s="1" t="s">
        <v>2</v>
      </c>
      <c r="E35" t="s">
        <v>23</v>
      </c>
      <c r="F35" t="s">
        <v>19</v>
      </c>
      <c r="G35" t="s">
        <v>20</v>
      </c>
      <c r="H35" t="s">
        <v>21</v>
      </c>
      <c r="I35" t="s">
        <v>22</v>
      </c>
      <c r="J35" s="1" t="s">
        <v>8</v>
      </c>
      <c r="K35" s="1" t="s">
        <v>9</v>
      </c>
    </row>
    <row r="36" spans="2:11" x14ac:dyDescent="0.3">
      <c r="B36" t="s">
        <v>10</v>
      </c>
      <c r="C36" t="s">
        <v>15</v>
      </c>
      <c r="D36">
        <v>86936</v>
      </c>
      <c r="E36">
        <v>4</v>
      </c>
      <c r="F36">
        <v>4</v>
      </c>
      <c r="G36">
        <v>5</v>
      </c>
      <c r="H36">
        <v>4</v>
      </c>
      <c r="I36">
        <v>4</v>
      </c>
      <c r="J36">
        <f>SUM(E36:I36)</f>
        <v>21</v>
      </c>
      <c r="K36">
        <v>2</v>
      </c>
    </row>
    <row r="37" spans="2:11" x14ac:dyDescent="0.3">
      <c r="B37" t="s">
        <v>12</v>
      </c>
      <c r="C37" t="s">
        <v>15</v>
      </c>
      <c r="D37">
        <v>31303</v>
      </c>
      <c r="E37">
        <v>4</v>
      </c>
      <c r="F37">
        <v>4</v>
      </c>
      <c r="G37">
        <v>2</v>
      </c>
      <c r="H37">
        <v>4</v>
      </c>
      <c r="I37">
        <v>5</v>
      </c>
      <c r="J37">
        <f>SUM(E37:I37)</f>
        <v>19</v>
      </c>
      <c r="K37">
        <v>3</v>
      </c>
    </row>
    <row r="38" spans="2:11" x14ac:dyDescent="0.3">
      <c r="B38" t="s">
        <v>13</v>
      </c>
      <c r="C38" t="s">
        <v>15</v>
      </c>
      <c r="D38">
        <v>9198</v>
      </c>
      <c r="E38">
        <v>5</v>
      </c>
      <c r="F38">
        <v>5</v>
      </c>
      <c r="G38">
        <v>3</v>
      </c>
      <c r="H38">
        <v>5</v>
      </c>
      <c r="I38">
        <v>5</v>
      </c>
      <c r="J38">
        <f>SUM(E38:I38)</f>
        <v>23</v>
      </c>
      <c r="K38">
        <v>1</v>
      </c>
    </row>
    <row r="40" spans="2:11" x14ac:dyDescent="0.3">
      <c r="B40" s="3" t="s">
        <v>24</v>
      </c>
      <c r="D40" s="1" t="s">
        <v>2</v>
      </c>
      <c r="E40" s="1" t="s">
        <v>3</v>
      </c>
      <c r="F40" s="1" t="s">
        <v>4</v>
      </c>
      <c r="G40" s="1" t="s">
        <v>5</v>
      </c>
      <c r="H40" s="1" t="s">
        <v>6</v>
      </c>
      <c r="I40" s="1" t="s">
        <v>7</v>
      </c>
      <c r="J40" s="1" t="s">
        <v>8</v>
      </c>
      <c r="K40" s="1" t="s">
        <v>9</v>
      </c>
    </row>
    <row r="41" spans="2:11" x14ac:dyDescent="0.3">
      <c r="B41" t="s">
        <v>10</v>
      </c>
      <c r="C41" t="s">
        <v>11</v>
      </c>
      <c r="D41" s="7">
        <f>AVERAGE(D3,D16,D29)</f>
        <v>35522.666666666664</v>
      </c>
      <c r="E41" s="7">
        <f>AVERAGE(E3,E16,E29)</f>
        <v>4</v>
      </c>
      <c r="F41" s="7">
        <f t="shared" ref="E41:I42" si="3">AVERAGE(F3,F16,F29)</f>
        <v>4</v>
      </c>
      <c r="G41" s="7">
        <f t="shared" si="3"/>
        <v>4</v>
      </c>
      <c r="H41" s="7">
        <f>AVERAGE(H3,H16,H29)</f>
        <v>4.666666666666667</v>
      </c>
      <c r="I41" s="7">
        <f t="shared" si="3"/>
        <v>3.6666666666666665</v>
      </c>
      <c r="J41" s="7">
        <f>SUM(E41:I41)</f>
        <v>20.333333333333336</v>
      </c>
      <c r="K41">
        <v>3</v>
      </c>
    </row>
    <row r="42" spans="2:11" x14ac:dyDescent="0.3">
      <c r="B42" t="s">
        <v>12</v>
      </c>
      <c r="C42" t="s">
        <v>11</v>
      </c>
      <c r="D42" s="7">
        <f t="shared" ref="D42:I50" si="4">AVERAGE(D4,D17,D30)</f>
        <v>18689.333333333332</v>
      </c>
      <c r="E42" s="7">
        <f>AVERAGE(E4,E17,E30)</f>
        <v>4.666666666666667</v>
      </c>
      <c r="F42" s="7">
        <f>AVERAGE(F4,F17,F30)</f>
        <v>4.333333333333333</v>
      </c>
      <c r="G42" s="7">
        <f t="shared" si="4"/>
        <v>4.666666666666667</v>
      </c>
      <c r="H42" s="7">
        <f t="shared" si="4"/>
        <v>4.666666666666667</v>
      </c>
      <c r="I42" s="7">
        <f t="shared" si="4"/>
        <v>4.333333333333333</v>
      </c>
      <c r="J42" s="7">
        <f>SUM(E42:I42)</f>
        <v>22.666666666666668</v>
      </c>
      <c r="K42">
        <v>2</v>
      </c>
    </row>
    <row r="43" spans="2:11" x14ac:dyDescent="0.3">
      <c r="B43" s="4" t="s">
        <v>13</v>
      </c>
      <c r="C43" t="s">
        <v>11</v>
      </c>
      <c r="D43" s="7">
        <f>AVERAGE(D5,D18,D31)</f>
        <v>7195.666666666667</v>
      </c>
      <c r="E43" s="7">
        <f t="shared" si="4"/>
        <v>5</v>
      </c>
      <c r="F43" s="7">
        <f t="shared" si="4"/>
        <v>5</v>
      </c>
      <c r="G43" s="7">
        <f t="shared" si="4"/>
        <v>4.666666666666667</v>
      </c>
      <c r="H43" s="7">
        <f t="shared" si="4"/>
        <v>5</v>
      </c>
      <c r="I43" s="7">
        <f t="shared" si="4"/>
        <v>4.333333333333333</v>
      </c>
      <c r="J43" s="7">
        <f t="shared" ref="J42:J50" si="5">SUM(E43:I43)</f>
        <v>24</v>
      </c>
      <c r="K43" s="4">
        <v>1</v>
      </c>
    </row>
    <row r="44" spans="2:11" x14ac:dyDescent="0.3">
      <c r="B44" t="s">
        <v>10</v>
      </c>
      <c r="C44" t="s">
        <v>14</v>
      </c>
      <c r="D44" s="7">
        <f t="shared" si="4"/>
        <v>19388.333333333332</v>
      </c>
      <c r="E44" s="7">
        <f t="shared" si="4"/>
        <v>3.6666666666666665</v>
      </c>
      <c r="F44" s="7">
        <f t="shared" si="4"/>
        <v>3.6666666666666665</v>
      </c>
      <c r="G44" s="7">
        <f t="shared" ref="G44:I44" si="6">AVERAGE(G6,G19,G32)</f>
        <v>3.6666666666666665</v>
      </c>
      <c r="H44" s="7">
        <f t="shared" si="6"/>
        <v>4.333333333333333</v>
      </c>
      <c r="I44" s="7">
        <f t="shared" si="6"/>
        <v>3</v>
      </c>
      <c r="J44" s="7">
        <f t="shared" si="5"/>
        <v>18.333333333333332</v>
      </c>
      <c r="K44">
        <v>3</v>
      </c>
    </row>
    <row r="45" spans="2:11" x14ac:dyDescent="0.3">
      <c r="B45" t="s">
        <v>12</v>
      </c>
      <c r="C45" t="s">
        <v>14</v>
      </c>
      <c r="D45" s="7">
        <f t="shared" si="4"/>
        <v>14600.666666666666</v>
      </c>
      <c r="E45" s="7">
        <f t="shared" si="4"/>
        <v>4.666666666666667</v>
      </c>
      <c r="F45" s="7">
        <f t="shared" si="4"/>
        <v>4</v>
      </c>
      <c r="G45" s="7">
        <f t="shared" si="4"/>
        <v>4.666666666666667</v>
      </c>
      <c r="H45" s="7">
        <f t="shared" si="4"/>
        <v>4.666666666666667</v>
      </c>
      <c r="I45" s="7">
        <f t="shared" si="4"/>
        <v>4.666666666666667</v>
      </c>
      <c r="J45" s="7">
        <f t="shared" si="5"/>
        <v>22.666666666666671</v>
      </c>
      <c r="K45">
        <v>2</v>
      </c>
    </row>
    <row r="46" spans="2:11" x14ac:dyDescent="0.3">
      <c r="B46" s="4" t="s">
        <v>13</v>
      </c>
      <c r="C46" t="s">
        <v>14</v>
      </c>
      <c r="D46" s="7">
        <f>AVERAGE(D8,D21,D34)</f>
        <v>4465.666666666667</v>
      </c>
      <c r="E46" s="7">
        <f t="shared" si="4"/>
        <v>5</v>
      </c>
      <c r="F46" s="7">
        <f t="shared" si="4"/>
        <v>5</v>
      </c>
      <c r="G46" s="7">
        <f t="shared" ref="G46:I46" si="7">AVERAGE(G8,G21,G34)</f>
        <v>5</v>
      </c>
      <c r="H46" s="7">
        <f t="shared" si="7"/>
        <v>5</v>
      </c>
      <c r="I46" s="7">
        <f t="shared" si="7"/>
        <v>4.333333333333333</v>
      </c>
      <c r="J46" s="7">
        <f t="shared" si="5"/>
        <v>24.333333333333332</v>
      </c>
      <c r="K46" s="4">
        <v>1</v>
      </c>
    </row>
    <row r="47" spans="2:11" x14ac:dyDescent="0.3">
      <c r="D47" s="1" t="s">
        <v>2</v>
      </c>
      <c r="E47" t="s">
        <v>23</v>
      </c>
      <c r="F47" t="s">
        <v>19</v>
      </c>
      <c r="G47" t="s">
        <v>20</v>
      </c>
      <c r="H47" t="s">
        <v>21</v>
      </c>
      <c r="I47" t="s">
        <v>22</v>
      </c>
      <c r="J47" s="1" t="s">
        <v>8</v>
      </c>
      <c r="K47" s="1" t="s">
        <v>9</v>
      </c>
    </row>
    <row r="48" spans="2:11" x14ac:dyDescent="0.3">
      <c r="B48" t="s">
        <v>10</v>
      </c>
      <c r="C48" t="s">
        <v>15</v>
      </c>
      <c r="D48" s="7">
        <f t="shared" si="4"/>
        <v>59538</v>
      </c>
      <c r="E48" s="7">
        <f>AVERAGE(E10,E23,E36)</f>
        <v>4.333333333333333</v>
      </c>
      <c r="F48" s="7">
        <f t="shared" ref="F48:I48" si="8">AVERAGE(F10,F23,F36)</f>
        <v>4</v>
      </c>
      <c r="G48" s="7">
        <f t="shared" si="8"/>
        <v>5</v>
      </c>
      <c r="H48" s="7">
        <f t="shared" si="8"/>
        <v>4</v>
      </c>
      <c r="I48" s="7">
        <f t="shared" si="8"/>
        <v>3.3333333333333335</v>
      </c>
      <c r="J48" s="7">
        <f t="shared" si="5"/>
        <v>20.666666666666664</v>
      </c>
      <c r="K48">
        <v>2</v>
      </c>
    </row>
    <row r="49" spans="2:11" x14ac:dyDescent="0.3">
      <c r="B49" t="s">
        <v>12</v>
      </c>
      <c r="C49" t="s">
        <v>15</v>
      </c>
      <c r="D49" s="7">
        <f t="shared" si="4"/>
        <v>25495.333333333332</v>
      </c>
      <c r="E49" s="7">
        <f t="shared" ref="E49:F49" si="9">AVERAGE(E11,E24,E37)</f>
        <v>3.6666666666666665</v>
      </c>
      <c r="F49" s="7">
        <f t="shared" si="9"/>
        <v>3.6666666666666665</v>
      </c>
      <c r="G49" s="7">
        <f>AVERAGE(G11,G24,G37)</f>
        <v>2.3333333333333335</v>
      </c>
      <c r="H49" s="7">
        <f t="shared" ref="G49:I49" si="10">AVERAGE(H11,H24,H37)</f>
        <v>3.6666666666666665</v>
      </c>
      <c r="I49" s="7">
        <f t="shared" si="10"/>
        <v>4.333333333333333</v>
      </c>
      <c r="J49" s="7">
        <f t="shared" si="5"/>
        <v>17.666666666666664</v>
      </c>
      <c r="K49">
        <v>3</v>
      </c>
    </row>
    <row r="50" spans="2:11" x14ac:dyDescent="0.3">
      <c r="B50" s="4" t="s">
        <v>13</v>
      </c>
      <c r="C50" t="s">
        <v>15</v>
      </c>
      <c r="D50" s="7">
        <f t="shared" si="4"/>
        <v>10599</v>
      </c>
      <c r="E50" s="7">
        <f t="shared" ref="E50:F50" si="11">AVERAGE(E12,E25,E38)</f>
        <v>5</v>
      </c>
      <c r="F50" s="7">
        <f t="shared" si="11"/>
        <v>4.666666666666667</v>
      </c>
      <c r="G50" s="7">
        <f t="shared" ref="G50:I50" si="12">AVERAGE(G12,G25,G38)</f>
        <v>3.6666666666666665</v>
      </c>
      <c r="H50" s="7">
        <f t="shared" si="12"/>
        <v>5</v>
      </c>
      <c r="I50" s="7">
        <f t="shared" si="12"/>
        <v>4.666666666666667</v>
      </c>
      <c r="J50" s="7">
        <f t="shared" si="5"/>
        <v>23.000000000000004</v>
      </c>
      <c r="K50" s="4">
        <v>1</v>
      </c>
    </row>
    <row r="56" spans="2:11" ht="28" x14ac:dyDescent="0.3">
      <c r="C56" s="8" t="s">
        <v>25</v>
      </c>
      <c r="D56" s="10" t="s">
        <v>26</v>
      </c>
      <c r="E56" s="10" t="s">
        <v>27</v>
      </c>
      <c r="F56" s="10" t="s">
        <v>28</v>
      </c>
      <c r="G56" s="10" t="s">
        <v>29</v>
      </c>
      <c r="H56" s="10" t="s">
        <v>30</v>
      </c>
      <c r="I56" s="10" t="s">
        <v>31</v>
      </c>
    </row>
    <row r="57" spans="2:11" x14ac:dyDescent="0.3">
      <c r="C57" s="11" t="s">
        <v>32</v>
      </c>
      <c r="D57" s="9">
        <v>20</v>
      </c>
      <c r="E57" s="9" t="s">
        <v>33</v>
      </c>
      <c r="F57" s="9">
        <v>18</v>
      </c>
      <c r="G57" s="9" t="s">
        <v>34</v>
      </c>
      <c r="H57" s="9">
        <v>21</v>
      </c>
      <c r="I57" s="9" t="s">
        <v>35</v>
      </c>
    </row>
    <row r="58" spans="2:11" ht="28" x14ac:dyDescent="0.3">
      <c r="C58" s="11" t="s">
        <v>36</v>
      </c>
      <c r="D58" s="9">
        <v>23</v>
      </c>
      <c r="E58" s="9" t="s">
        <v>37</v>
      </c>
      <c r="F58" s="9">
        <v>23</v>
      </c>
      <c r="G58" s="9" t="s">
        <v>38</v>
      </c>
      <c r="H58" s="9">
        <v>18</v>
      </c>
      <c r="I58" s="9" t="s">
        <v>39</v>
      </c>
    </row>
    <row r="59" spans="2:11" ht="28" x14ac:dyDescent="0.3">
      <c r="C59" s="11" t="s">
        <v>40</v>
      </c>
      <c r="D59" s="9">
        <v>24</v>
      </c>
      <c r="E59" s="9" t="s">
        <v>41</v>
      </c>
      <c r="F59" s="9">
        <v>24</v>
      </c>
      <c r="G59" s="9" t="s">
        <v>62</v>
      </c>
      <c r="H59" s="9">
        <v>23</v>
      </c>
      <c r="I59" s="9" t="s">
        <v>42</v>
      </c>
    </row>
    <row r="62" spans="2:11" ht="28" x14ac:dyDescent="0.3">
      <c r="C62" s="8" t="s">
        <v>25</v>
      </c>
      <c r="D62" s="10" t="s">
        <v>43</v>
      </c>
      <c r="E62" s="10" t="s">
        <v>44</v>
      </c>
      <c r="F62" s="10" t="s">
        <v>45</v>
      </c>
    </row>
    <row r="63" spans="2:11" x14ac:dyDescent="0.3">
      <c r="C63" s="11" t="s">
        <v>46</v>
      </c>
      <c r="D63" s="9">
        <v>23.7</v>
      </c>
      <c r="E63" s="9" t="s">
        <v>47</v>
      </c>
      <c r="F63" s="9">
        <v>1</v>
      </c>
    </row>
    <row r="64" spans="2:11" x14ac:dyDescent="0.3">
      <c r="C64" s="11" t="s">
        <v>48</v>
      </c>
      <c r="D64" s="9">
        <v>21.3</v>
      </c>
      <c r="E64" s="9" t="s">
        <v>49</v>
      </c>
      <c r="F64" s="9">
        <v>2</v>
      </c>
    </row>
    <row r="65" spans="3:6" x14ac:dyDescent="0.3">
      <c r="C65" s="11" t="s">
        <v>50</v>
      </c>
      <c r="D65" s="9">
        <v>19.7</v>
      </c>
      <c r="E65" s="9" t="s">
        <v>51</v>
      </c>
      <c r="F65" s="9">
        <v>3</v>
      </c>
    </row>
    <row r="68" spans="3:6" ht="28" x14ac:dyDescent="0.3">
      <c r="C68" s="8" t="s">
        <v>52</v>
      </c>
      <c r="D68" s="10" t="s">
        <v>43</v>
      </c>
      <c r="E68" s="10" t="s">
        <v>44</v>
      </c>
      <c r="F68" s="8" t="s">
        <v>53</v>
      </c>
    </row>
    <row r="69" spans="3:6" ht="28" x14ac:dyDescent="0.3">
      <c r="C69" s="11" t="s">
        <v>54</v>
      </c>
      <c r="D69" s="9">
        <v>22.3</v>
      </c>
      <c r="E69" s="9" t="s">
        <v>55</v>
      </c>
      <c r="F69" s="11" t="s">
        <v>56</v>
      </c>
    </row>
    <row r="70" spans="3:6" ht="28" x14ac:dyDescent="0.3">
      <c r="C70" s="11" t="s">
        <v>57</v>
      </c>
      <c r="D70" s="9">
        <v>21.7</v>
      </c>
      <c r="E70" s="9" t="s">
        <v>63</v>
      </c>
      <c r="F70" s="11" t="s">
        <v>61</v>
      </c>
    </row>
    <row r="71" spans="3:6" ht="28" x14ac:dyDescent="0.3">
      <c r="C71" s="11" t="s">
        <v>58</v>
      </c>
      <c r="D71" s="9">
        <v>20.7</v>
      </c>
      <c r="E71" s="9" t="s">
        <v>59</v>
      </c>
      <c r="F71" s="1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hh</dc:creator>
  <cp:lastModifiedBy>xy hh</cp:lastModifiedBy>
  <dcterms:created xsi:type="dcterms:W3CDTF">2015-06-05T18:19:34Z</dcterms:created>
  <dcterms:modified xsi:type="dcterms:W3CDTF">2026-05-24T23:36:07Z</dcterms:modified>
</cp:coreProperties>
</file>